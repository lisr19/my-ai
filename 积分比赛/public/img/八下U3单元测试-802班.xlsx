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 tabRatio="500"/>
  </bookViews>
  <sheets>
    <sheet name="Unit3单元测试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<sst xmlns="http://schemas.openxmlformats.org/spreadsheetml/2006/main" count="154" uniqueCount="62">
  <si>
    <t>班级</t>
  </si>
  <si>
    <t>学号</t>
  </si>
  <si>
    <t>组别</t>
  </si>
  <si>
    <t>姓名</t>
  </si>
  <si>
    <t>选择题（50）</t>
  </si>
  <si>
    <t>二卷（15）</t>
  </si>
  <si>
    <t>小卷（10）</t>
  </si>
  <si>
    <t>作文（15)</t>
  </si>
  <si>
    <t>笔试总分（75）</t>
  </si>
  <si>
    <t>听说（30）</t>
  </si>
  <si>
    <t>总分</t>
  </si>
  <si>
    <t>初二（2）班</t>
  </si>
  <si>
    <t>B组</t>
  </si>
  <si>
    <t>曹进</t>
  </si>
  <si>
    <t>D组</t>
  </si>
  <si>
    <t>陈皓轩</t>
  </si>
  <si>
    <t>杜一恒</t>
  </si>
  <si>
    <t>高睿</t>
  </si>
  <si>
    <t>A组</t>
  </si>
  <si>
    <t>洪炜</t>
  </si>
  <si>
    <t>C组</t>
  </si>
  <si>
    <t>黄铭林</t>
  </si>
  <si>
    <t>黄信然</t>
  </si>
  <si>
    <t>黄运鸿</t>
  </si>
  <si>
    <t>黄韵舟</t>
  </si>
  <si>
    <t>雷雪松</t>
  </si>
  <si>
    <t>李百川</t>
  </si>
  <si>
    <t>李炆潼</t>
  </si>
  <si>
    <t>林茂洋</t>
  </si>
  <si>
    <t>刘勋</t>
  </si>
  <si>
    <t>孟湖桉</t>
  </si>
  <si>
    <t>请假</t>
  </si>
  <si>
    <t>欧阳正清</t>
  </si>
  <si>
    <t>邱明泽</t>
  </si>
  <si>
    <t>邵泽贤</t>
  </si>
  <si>
    <t>沈霖枫</t>
  </si>
  <si>
    <t>夏晨希</t>
  </si>
  <si>
    <t>张雨泽</t>
  </si>
  <si>
    <t>钟灵聪</t>
  </si>
  <si>
    <t>高啟媛</t>
  </si>
  <si>
    <t>解筱薇</t>
  </si>
  <si>
    <t>雷慧妍</t>
  </si>
  <si>
    <t>雷鑫宇</t>
  </si>
  <si>
    <t>李涵</t>
  </si>
  <si>
    <t>李佳桐</t>
  </si>
  <si>
    <t>李衍馨</t>
  </si>
  <si>
    <t>李伊静</t>
  </si>
  <si>
    <t>李紫菡</t>
  </si>
  <si>
    <t>刘芷萌</t>
  </si>
  <si>
    <t>谭晨笑</t>
  </si>
  <si>
    <t>陶玥含</t>
  </si>
  <si>
    <t>王君澜</t>
  </si>
  <si>
    <t>王姝月</t>
  </si>
  <si>
    <t>王云慧</t>
  </si>
  <si>
    <t>肖洋洋</t>
  </si>
  <si>
    <t>邢雨虹</t>
  </si>
  <si>
    <t>许可欣</t>
  </si>
  <si>
    <t>游佳妮</t>
  </si>
  <si>
    <t>张卓琪</t>
  </si>
  <si>
    <t>赵张钰</t>
  </si>
  <si>
    <t>郑妙涵</t>
  </si>
  <si>
    <t>祁牧瑶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</si>
</sst>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DengXian"/>
      <charset val="134"/>
      <scheme val="minor"/>
    </font>
    <font>
      <b/>
      <sz val="12"/>
      <name val="宋体"/>
      <charset val="134"/>
    </font>
    <font>
      <b/>
      <sz val="14"/>
      <color theme="1"/>
      <name val="宋体"/>
      <charset val="134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2"/>
      <color rgb="FFF44336"/>
      <name val="宋体"/>
      <charset val="134"/>
    </font>
    <font>
      <sz val="12"/>
      <color rgb="FFFF0000"/>
      <name val="DengXian"/>
      <charset val="134"/>
      <scheme val="minor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horizontal="center"/>
    </xf>
    <xf numFmtId="0" fontId="0" fillId="0" borderId="1" xfId="0" applyFill="1" applyBorder="1"/>
    <xf numFmtId="0" fontId="1" fillId="0" borderId="2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2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tabSelected="1" workbookViewId="0">
      <selection activeCell="L22" sqref="L22"/>
    </sheetView>
  </sheetViews>
  <sheetFormatPr defaultColWidth="9" defaultRowHeight="15.6"/>
  <cols>
    <col min="1" max="1" width="11.0909090909091" customWidth="1"/>
    <col min="2" max="2" width="11.1287878787879" customWidth="1"/>
    <col min="3" max="3" width="9.28787878787879" style="1" customWidth="1"/>
    <col min="4" max="4" width="12.0909090909091" customWidth="1"/>
    <col min="5" max="5" width="14.75" customWidth="1"/>
    <col min="6" max="6" width="13.5" customWidth="1"/>
    <col min="7" max="7" width="13.75" style="2" customWidth="1"/>
    <col min="8" max="8" width="10.3787878787879" style="2" customWidth="1"/>
    <col min="9" max="9" width="13.5" style="2" customWidth="1"/>
    <col min="10" max="10" width="12.1287878787879" customWidth="1"/>
    <col min="11" max="11" width="12.6287878787879" style="2" customWidth="1"/>
  </cols>
  <sheetData>
    <row r="1" spans="1:11">
      <c r="A1" t="s">
        <v>0</v>
      </c>
      <c r="B1" t="s">
        <v>1</v>
      </c>
      <c r="C1" s="1" t="s">
        <v>2</v>
      </c>
      <c r="D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24" t="s">
        <v>8</v>
      </c>
      <c r="J1" s="5" t="s">
        <v>9</v>
      </c>
      <c r="K1" s="25" t="s">
        <v>10</v>
      </c>
    </row>
    <row r="2" ht="17.4" spans="1:11">
      <c r="A2" s="6" t="s">
        <v>11</v>
      </c>
      <c r="B2" s="7">
        <v>1</v>
      </c>
      <c r="C2" s="8" t="s">
        <v>12</v>
      </c>
      <c r="D2" s="8" t="s">
        <v>13</v>
      </c>
      <c r="E2" s="9">
        <v>34</v>
      </c>
      <c r="F2" s="10">
        <v>7.5</v>
      </c>
      <c r="G2" s="11">
        <v>7</v>
      </c>
      <c r="H2" s="5">
        <v>11</v>
      </c>
      <c r="I2" s="24">
        <v>59.5</v>
      </c>
      <c r="J2" s="26">
        <v>23.53</v>
      </c>
      <c r="K2" s="24">
        <f>I2+J2</f>
        <v>83.03</v>
      </c>
    </row>
    <row r="3" ht="17.4" spans="1:11">
      <c r="A3" s="12" t="s">
        <v>11</v>
      </c>
      <c r="B3" s="13">
        <v>2</v>
      </c>
      <c r="C3" s="14" t="s">
        <v>14</v>
      </c>
      <c r="D3" s="14" t="s">
        <v>15</v>
      </c>
      <c r="E3" s="9">
        <v>16</v>
      </c>
      <c r="F3" s="10">
        <v>0</v>
      </c>
      <c r="G3" s="11">
        <v>1</v>
      </c>
      <c r="H3" s="5">
        <v>2</v>
      </c>
      <c r="I3" s="24">
        <v>19</v>
      </c>
      <c r="J3" s="27">
        <v>4.37</v>
      </c>
      <c r="K3" s="24">
        <f t="shared" ref="K3:K46" si="0">I3+J3</f>
        <v>23.37</v>
      </c>
    </row>
    <row r="4" ht="17.4" spans="1:11">
      <c r="A4" s="12" t="s">
        <v>11</v>
      </c>
      <c r="B4" s="13">
        <v>3</v>
      </c>
      <c r="C4" s="14" t="s">
        <v>14</v>
      </c>
      <c r="D4" s="14" t="s">
        <v>16</v>
      </c>
      <c r="E4" s="9">
        <v>16</v>
      </c>
      <c r="F4" s="10">
        <v>0</v>
      </c>
      <c r="G4" s="11">
        <v>0</v>
      </c>
      <c r="H4" s="5">
        <v>0</v>
      </c>
      <c r="I4" s="24">
        <v>16</v>
      </c>
      <c r="J4" s="27">
        <v>0</v>
      </c>
      <c r="K4" s="24">
        <f t="shared" si="0"/>
        <v>16</v>
      </c>
    </row>
    <row r="5" ht="17.4" spans="1:11">
      <c r="A5" s="6" t="s">
        <v>11</v>
      </c>
      <c r="B5" s="7">
        <v>4</v>
      </c>
      <c r="C5" s="8" t="s">
        <v>12</v>
      </c>
      <c r="D5" s="8" t="s">
        <v>17</v>
      </c>
      <c r="E5" s="9">
        <v>24</v>
      </c>
      <c r="F5" s="10">
        <v>5.5</v>
      </c>
      <c r="G5" s="11">
        <v>5.5</v>
      </c>
      <c r="H5" s="5">
        <v>9</v>
      </c>
      <c r="I5" s="24">
        <v>44</v>
      </c>
      <c r="J5" s="27">
        <v>15.69</v>
      </c>
      <c r="K5" s="24">
        <f t="shared" si="0"/>
        <v>59.69</v>
      </c>
    </row>
    <row r="6" ht="17.4" spans="1:11">
      <c r="A6" s="15" t="s">
        <v>11</v>
      </c>
      <c r="B6" s="16">
        <v>5</v>
      </c>
      <c r="C6" s="17" t="s">
        <v>18</v>
      </c>
      <c r="D6" s="17" t="s">
        <v>19</v>
      </c>
      <c r="E6" s="18">
        <v>41</v>
      </c>
      <c r="F6" s="10">
        <v>13</v>
      </c>
      <c r="G6" s="11">
        <v>7.5</v>
      </c>
      <c r="H6" s="5">
        <v>13</v>
      </c>
      <c r="I6" s="24">
        <v>74.5</v>
      </c>
      <c r="J6" s="26">
        <v>27.66</v>
      </c>
      <c r="K6" s="24">
        <f t="shared" si="0"/>
        <v>102.16</v>
      </c>
    </row>
    <row r="7" ht="17.4" spans="1:11">
      <c r="A7" s="19" t="s">
        <v>11</v>
      </c>
      <c r="B7" s="20">
        <v>6</v>
      </c>
      <c r="C7" s="21" t="s">
        <v>20</v>
      </c>
      <c r="D7" s="21" t="s">
        <v>21</v>
      </c>
      <c r="E7" s="9">
        <v>29</v>
      </c>
      <c r="F7" s="10">
        <v>1.5</v>
      </c>
      <c r="G7" s="11">
        <v>1</v>
      </c>
      <c r="H7" s="5">
        <v>7</v>
      </c>
      <c r="I7" s="24">
        <v>38.5</v>
      </c>
      <c r="J7" s="26">
        <v>20.95</v>
      </c>
      <c r="K7" s="24">
        <f t="shared" si="0"/>
        <v>59.45</v>
      </c>
    </row>
    <row r="8" ht="17.4" spans="1:11">
      <c r="A8" s="19" t="s">
        <v>11</v>
      </c>
      <c r="B8" s="20">
        <v>7</v>
      </c>
      <c r="C8" s="21" t="s">
        <v>20</v>
      </c>
      <c r="D8" s="21" t="s">
        <v>22</v>
      </c>
      <c r="E8" s="9">
        <v>31</v>
      </c>
      <c r="F8" s="10">
        <v>5</v>
      </c>
      <c r="G8" s="11">
        <v>1</v>
      </c>
      <c r="H8" s="5">
        <v>3</v>
      </c>
      <c r="I8" s="24">
        <v>40</v>
      </c>
      <c r="J8" s="26">
        <v>20.08</v>
      </c>
      <c r="K8" s="24">
        <f t="shared" si="0"/>
        <v>60.08</v>
      </c>
    </row>
    <row r="9" ht="17.4" spans="1:11">
      <c r="A9" s="15" t="s">
        <v>11</v>
      </c>
      <c r="B9" s="16">
        <v>8</v>
      </c>
      <c r="C9" s="17" t="s">
        <v>18</v>
      </c>
      <c r="D9" s="17" t="s">
        <v>23</v>
      </c>
      <c r="E9" s="18">
        <v>28</v>
      </c>
      <c r="F9" s="10">
        <v>12.5</v>
      </c>
      <c r="G9" s="11">
        <v>8</v>
      </c>
      <c r="H9" s="5">
        <v>7</v>
      </c>
      <c r="I9" s="24">
        <v>55.5</v>
      </c>
      <c r="J9" s="26">
        <v>27.97</v>
      </c>
      <c r="K9" s="24">
        <f t="shared" si="0"/>
        <v>83.47</v>
      </c>
    </row>
    <row r="10" ht="17.4" spans="1:11">
      <c r="A10" s="6" t="s">
        <v>11</v>
      </c>
      <c r="B10" s="7">
        <v>9</v>
      </c>
      <c r="C10" s="17" t="s">
        <v>18</v>
      </c>
      <c r="D10" s="8" t="s">
        <v>24</v>
      </c>
      <c r="E10" s="18">
        <v>44</v>
      </c>
      <c r="F10" s="10">
        <v>11.5</v>
      </c>
      <c r="G10" s="11">
        <v>6</v>
      </c>
      <c r="H10" s="5">
        <v>12</v>
      </c>
      <c r="I10" s="24">
        <v>73.5</v>
      </c>
      <c r="J10" s="26">
        <v>22.05</v>
      </c>
      <c r="K10" s="24">
        <f t="shared" si="0"/>
        <v>95.55</v>
      </c>
    </row>
    <row r="11" ht="17.4" spans="1:11">
      <c r="A11" s="6" t="s">
        <v>11</v>
      </c>
      <c r="B11" s="7">
        <v>10</v>
      </c>
      <c r="C11" s="8" t="s">
        <v>12</v>
      </c>
      <c r="D11" s="8" t="s">
        <v>25</v>
      </c>
      <c r="E11" s="9">
        <v>38</v>
      </c>
      <c r="F11" s="10">
        <v>6.5</v>
      </c>
      <c r="G11" s="11">
        <v>6.5</v>
      </c>
      <c r="H11" s="5">
        <v>10</v>
      </c>
      <c r="I11" s="24">
        <v>61</v>
      </c>
      <c r="J11" s="26">
        <v>19.12</v>
      </c>
      <c r="K11" s="24">
        <f t="shared" si="0"/>
        <v>80.12</v>
      </c>
    </row>
    <row r="12" ht="17.4" spans="1:11">
      <c r="A12" s="15" t="s">
        <v>11</v>
      </c>
      <c r="B12" s="16">
        <v>11</v>
      </c>
      <c r="C12" s="17" t="s">
        <v>18</v>
      </c>
      <c r="D12" s="17" t="s">
        <v>26</v>
      </c>
      <c r="E12" s="9">
        <v>49</v>
      </c>
      <c r="F12" s="10">
        <v>13.5</v>
      </c>
      <c r="G12" s="11">
        <v>8</v>
      </c>
      <c r="H12" s="5">
        <v>14</v>
      </c>
      <c r="I12" s="24">
        <v>84.5</v>
      </c>
      <c r="J12" s="26">
        <v>28.94</v>
      </c>
      <c r="K12" s="24">
        <f t="shared" si="0"/>
        <v>113.44</v>
      </c>
    </row>
    <row r="13" ht="17.4" spans="1:11">
      <c r="A13" s="6" t="s">
        <v>11</v>
      </c>
      <c r="B13" s="7">
        <v>12</v>
      </c>
      <c r="C13" s="8" t="s">
        <v>12</v>
      </c>
      <c r="D13" s="8" t="s">
        <v>27</v>
      </c>
      <c r="E13" s="9">
        <v>22</v>
      </c>
      <c r="F13" s="10">
        <v>3.5</v>
      </c>
      <c r="G13" s="11">
        <v>0</v>
      </c>
      <c r="H13" s="5">
        <v>9</v>
      </c>
      <c r="I13" s="24">
        <v>34.5</v>
      </c>
      <c r="J13" s="27">
        <v>0</v>
      </c>
      <c r="K13" s="24">
        <f t="shared" si="0"/>
        <v>34.5</v>
      </c>
    </row>
    <row r="14" ht="17.4" spans="1:11">
      <c r="A14" s="19" t="s">
        <v>11</v>
      </c>
      <c r="B14" s="20">
        <v>13</v>
      </c>
      <c r="C14" s="21" t="s">
        <v>20</v>
      </c>
      <c r="D14" s="21" t="s">
        <v>28</v>
      </c>
      <c r="E14" s="9">
        <v>31</v>
      </c>
      <c r="F14" s="10">
        <v>2</v>
      </c>
      <c r="G14" s="11">
        <v>1.5</v>
      </c>
      <c r="H14" s="5">
        <v>3</v>
      </c>
      <c r="I14" s="24">
        <v>37.5</v>
      </c>
      <c r="J14" s="27">
        <v>1.61</v>
      </c>
      <c r="K14" s="24">
        <f t="shared" si="0"/>
        <v>39.11</v>
      </c>
    </row>
    <row r="15" ht="17.4" spans="1:11">
      <c r="A15" s="19" t="s">
        <v>11</v>
      </c>
      <c r="B15" s="20">
        <v>14</v>
      </c>
      <c r="C15" s="21" t="s">
        <v>20</v>
      </c>
      <c r="D15" s="21" t="s">
        <v>29</v>
      </c>
      <c r="E15" s="9">
        <v>24</v>
      </c>
      <c r="F15" s="10">
        <v>3.5</v>
      </c>
      <c r="G15" s="11">
        <v>2</v>
      </c>
      <c r="H15" s="5">
        <v>8</v>
      </c>
      <c r="I15" s="24">
        <v>37.5</v>
      </c>
      <c r="J15" s="26">
        <v>0.39</v>
      </c>
      <c r="K15" s="24">
        <f t="shared" si="0"/>
        <v>37.89</v>
      </c>
    </row>
    <row r="16" ht="17.4" spans="1:11">
      <c r="A16" s="12" t="s">
        <v>11</v>
      </c>
      <c r="B16" s="13">
        <v>15</v>
      </c>
      <c r="C16" s="14" t="s">
        <v>14</v>
      </c>
      <c r="D16" s="14" t="s">
        <v>30</v>
      </c>
      <c r="E16" s="9" t="s">
        <v>31</v>
      </c>
      <c r="F16" s="10" t="s">
        <v>31</v>
      </c>
      <c r="G16" s="11" t="s">
        <v>31</v>
      </c>
      <c r="H16" s="5">
        <v>1</v>
      </c>
      <c r="I16" s="24" t="s">
        <v>31</v>
      </c>
      <c r="J16" s="27">
        <v>0</v>
      </c>
      <c r="K16" s="24">
        <v>0</v>
      </c>
    </row>
    <row r="17" ht="17.4" spans="1:11">
      <c r="A17" s="6" t="s">
        <v>11</v>
      </c>
      <c r="B17" s="7">
        <v>16</v>
      </c>
      <c r="C17" s="8" t="s">
        <v>12</v>
      </c>
      <c r="D17" s="8" t="s">
        <v>32</v>
      </c>
      <c r="E17" s="9">
        <v>31</v>
      </c>
      <c r="F17" s="10">
        <v>3.5</v>
      </c>
      <c r="G17" s="11">
        <v>2.5</v>
      </c>
      <c r="H17" s="5">
        <v>7</v>
      </c>
      <c r="I17" s="24">
        <v>44</v>
      </c>
      <c r="J17" s="27">
        <v>14.79</v>
      </c>
      <c r="K17" s="24">
        <f t="shared" si="0"/>
        <v>58.79</v>
      </c>
    </row>
    <row r="18" ht="17.4" spans="1:11">
      <c r="A18" s="15" t="s">
        <v>11</v>
      </c>
      <c r="B18" s="16">
        <v>17</v>
      </c>
      <c r="C18" s="17" t="s">
        <v>18</v>
      </c>
      <c r="D18" s="17" t="s">
        <v>33</v>
      </c>
      <c r="E18" s="9">
        <v>40</v>
      </c>
      <c r="F18" s="10">
        <v>9.5</v>
      </c>
      <c r="G18" s="11">
        <v>8.8</v>
      </c>
      <c r="H18" s="5">
        <v>11.5</v>
      </c>
      <c r="I18" s="24">
        <v>69.8</v>
      </c>
      <c r="J18" s="26">
        <v>23.93</v>
      </c>
      <c r="K18" s="24">
        <f t="shared" si="0"/>
        <v>93.73</v>
      </c>
    </row>
    <row r="19" ht="17.4" spans="1:11">
      <c r="A19" s="15" t="s">
        <v>11</v>
      </c>
      <c r="B19" s="16">
        <v>18</v>
      </c>
      <c r="C19" s="17" t="s">
        <v>18</v>
      </c>
      <c r="D19" s="17" t="s">
        <v>34</v>
      </c>
      <c r="E19" s="18">
        <v>46</v>
      </c>
      <c r="F19" s="10">
        <v>14</v>
      </c>
      <c r="G19" s="11">
        <v>8.5</v>
      </c>
      <c r="H19" s="5">
        <v>11.5</v>
      </c>
      <c r="I19" s="24">
        <v>80</v>
      </c>
      <c r="J19" s="26">
        <v>26.66</v>
      </c>
      <c r="K19" s="24">
        <f t="shared" si="0"/>
        <v>106.66</v>
      </c>
    </row>
    <row r="20" ht="17.4" spans="1:11">
      <c r="A20" s="6" t="s">
        <v>11</v>
      </c>
      <c r="B20" s="7">
        <v>19</v>
      </c>
      <c r="C20" s="8" t="s">
        <v>12</v>
      </c>
      <c r="D20" s="8" t="s">
        <v>35</v>
      </c>
      <c r="E20" s="9">
        <v>27</v>
      </c>
      <c r="F20" s="10">
        <v>7.5</v>
      </c>
      <c r="G20" s="11">
        <v>7</v>
      </c>
      <c r="H20" s="5">
        <v>11.5</v>
      </c>
      <c r="I20" s="24">
        <v>53</v>
      </c>
      <c r="J20" s="26">
        <v>22.61</v>
      </c>
      <c r="K20" s="24">
        <f t="shared" si="0"/>
        <v>75.61</v>
      </c>
    </row>
    <row r="21" ht="17.4" spans="1:11">
      <c r="A21" s="19" t="s">
        <v>11</v>
      </c>
      <c r="B21" s="20">
        <v>20</v>
      </c>
      <c r="C21" s="21" t="s">
        <v>20</v>
      </c>
      <c r="D21" s="21" t="s">
        <v>36</v>
      </c>
      <c r="E21" s="9">
        <v>15</v>
      </c>
      <c r="F21" s="10">
        <v>2.5</v>
      </c>
      <c r="G21" s="11">
        <v>3</v>
      </c>
      <c r="H21" s="5">
        <v>0</v>
      </c>
      <c r="I21" s="24">
        <v>20.5</v>
      </c>
      <c r="J21" s="26">
        <v>9.96</v>
      </c>
      <c r="K21" s="24">
        <f t="shared" si="0"/>
        <v>30.46</v>
      </c>
    </row>
    <row r="22" ht="17.4" spans="1:11">
      <c r="A22" s="6" t="s">
        <v>11</v>
      </c>
      <c r="B22" s="7">
        <v>21</v>
      </c>
      <c r="C22" s="8" t="s">
        <v>12</v>
      </c>
      <c r="D22" s="8" t="s">
        <v>37</v>
      </c>
      <c r="E22" s="9">
        <v>26</v>
      </c>
      <c r="F22" s="22">
        <v>5</v>
      </c>
      <c r="G22" s="11">
        <v>1</v>
      </c>
      <c r="H22" s="5">
        <v>7</v>
      </c>
      <c r="I22" s="24">
        <v>39</v>
      </c>
      <c r="J22" s="27">
        <v>15.07</v>
      </c>
      <c r="K22" s="24">
        <f t="shared" si="0"/>
        <v>54.07</v>
      </c>
    </row>
    <row r="23" ht="17.4" spans="1:11">
      <c r="A23" s="12" t="s">
        <v>11</v>
      </c>
      <c r="B23" s="13">
        <v>22</v>
      </c>
      <c r="C23" s="14" t="s">
        <v>14</v>
      </c>
      <c r="D23" s="14" t="s">
        <v>38</v>
      </c>
      <c r="E23" s="9">
        <v>24</v>
      </c>
      <c r="F23" s="10">
        <v>1</v>
      </c>
      <c r="G23" s="11">
        <v>1.5</v>
      </c>
      <c r="H23" s="5">
        <v>2</v>
      </c>
      <c r="I23" s="24">
        <v>28.5</v>
      </c>
      <c r="J23" s="26">
        <v>7.16</v>
      </c>
      <c r="K23" s="24">
        <f t="shared" si="0"/>
        <v>35.66</v>
      </c>
    </row>
    <row r="24" ht="17.4" spans="1:11">
      <c r="A24" s="15" t="s">
        <v>11</v>
      </c>
      <c r="B24" s="16">
        <v>23</v>
      </c>
      <c r="C24" s="17" t="s">
        <v>18</v>
      </c>
      <c r="D24" s="17" t="s">
        <v>39</v>
      </c>
      <c r="E24" s="9">
        <v>39</v>
      </c>
      <c r="F24" s="10">
        <v>11</v>
      </c>
      <c r="G24" s="11">
        <v>6</v>
      </c>
      <c r="H24" s="5"/>
      <c r="I24" s="24">
        <v>56</v>
      </c>
      <c r="J24" s="26">
        <v>24.19</v>
      </c>
      <c r="K24" s="24">
        <f t="shared" si="0"/>
        <v>80.19</v>
      </c>
    </row>
    <row r="25" ht="17.4" spans="1:11">
      <c r="A25" s="6" t="s">
        <v>11</v>
      </c>
      <c r="B25" s="7">
        <v>24</v>
      </c>
      <c r="C25" s="8" t="s">
        <v>12</v>
      </c>
      <c r="D25" s="8" t="s">
        <v>40</v>
      </c>
      <c r="E25" s="9">
        <v>17</v>
      </c>
      <c r="F25" s="10">
        <v>0</v>
      </c>
      <c r="G25" s="11">
        <v>1.5</v>
      </c>
      <c r="H25" s="5">
        <v>12</v>
      </c>
      <c r="I25" s="24">
        <v>30.5</v>
      </c>
      <c r="J25" s="26">
        <v>11.09</v>
      </c>
      <c r="K25" s="24">
        <f t="shared" si="0"/>
        <v>41.59</v>
      </c>
    </row>
    <row r="26" ht="17.4" spans="1:11">
      <c r="A26" s="19" t="s">
        <v>11</v>
      </c>
      <c r="B26" s="20">
        <v>25</v>
      </c>
      <c r="C26" s="21" t="s">
        <v>20</v>
      </c>
      <c r="D26" s="21" t="s">
        <v>41</v>
      </c>
      <c r="E26" s="9">
        <v>22</v>
      </c>
      <c r="F26" s="10">
        <v>1</v>
      </c>
      <c r="G26" s="11">
        <v>3</v>
      </c>
      <c r="H26" s="5">
        <v>8</v>
      </c>
      <c r="I26" s="24">
        <v>34</v>
      </c>
      <c r="J26" s="27">
        <v>12.08</v>
      </c>
      <c r="K26" s="24">
        <f t="shared" si="0"/>
        <v>46.08</v>
      </c>
    </row>
    <row r="27" ht="17.4" spans="1:11">
      <c r="A27" s="19" t="s">
        <v>11</v>
      </c>
      <c r="B27" s="20">
        <v>26</v>
      </c>
      <c r="C27" s="21" t="s">
        <v>20</v>
      </c>
      <c r="D27" s="21" t="s">
        <v>42</v>
      </c>
      <c r="E27" s="9">
        <v>24</v>
      </c>
      <c r="F27" s="10">
        <v>1</v>
      </c>
      <c r="G27" s="11">
        <v>1</v>
      </c>
      <c r="H27" s="5">
        <v>4</v>
      </c>
      <c r="I27" s="24">
        <v>30</v>
      </c>
      <c r="J27" s="26">
        <v>17.65</v>
      </c>
      <c r="K27" s="24">
        <f t="shared" si="0"/>
        <v>47.65</v>
      </c>
    </row>
    <row r="28" ht="17.4" spans="1:11">
      <c r="A28" s="19" t="s">
        <v>11</v>
      </c>
      <c r="B28" s="20">
        <v>27</v>
      </c>
      <c r="C28" s="21" t="s">
        <v>20</v>
      </c>
      <c r="D28" s="21" t="s">
        <v>43</v>
      </c>
      <c r="E28" s="9">
        <v>16</v>
      </c>
      <c r="F28" s="10">
        <v>2</v>
      </c>
      <c r="G28" s="11">
        <v>1</v>
      </c>
      <c r="H28" s="5">
        <v>10</v>
      </c>
      <c r="I28" s="24">
        <v>29</v>
      </c>
      <c r="J28" s="27">
        <v>12.73</v>
      </c>
      <c r="K28" s="24">
        <f t="shared" si="0"/>
        <v>41.73</v>
      </c>
    </row>
    <row r="29" ht="17.4" spans="1:11">
      <c r="A29" s="15" t="s">
        <v>11</v>
      </c>
      <c r="B29" s="16">
        <v>28</v>
      </c>
      <c r="C29" s="17" t="s">
        <v>18</v>
      </c>
      <c r="D29" s="17" t="s">
        <v>44</v>
      </c>
      <c r="E29" s="18">
        <v>39</v>
      </c>
      <c r="F29" s="10">
        <v>13.5</v>
      </c>
      <c r="G29" s="11">
        <v>8.5</v>
      </c>
      <c r="H29" s="5">
        <v>12</v>
      </c>
      <c r="I29" s="24">
        <v>73</v>
      </c>
      <c r="J29" s="26">
        <v>28.09</v>
      </c>
      <c r="K29" s="24">
        <f t="shared" si="0"/>
        <v>101.09</v>
      </c>
    </row>
    <row r="30" ht="17.4" spans="1:11">
      <c r="A30" s="12" t="s">
        <v>11</v>
      </c>
      <c r="B30" s="13">
        <v>29</v>
      </c>
      <c r="C30" s="14" t="s">
        <v>14</v>
      </c>
      <c r="D30" s="14" t="s">
        <v>45</v>
      </c>
      <c r="E30" s="9">
        <v>26</v>
      </c>
      <c r="F30" s="10">
        <v>1</v>
      </c>
      <c r="G30" s="11">
        <v>0</v>
      </c>
      <c r="H30" s="5">
        <v>3</v>
      </c>
      <c r="I30" s="24">
        <v>30</v>
      </c>
      <c r="J30" s="27">
        <v>0</v>
      </c>
      <c r="K30" s="24">
        <f t="shared" si="0"/>
        <v>30</v>
      </c>
    </row>
    <row r="31" ht="17.4" spans="1:11">
      <c r="A31" s="15" t="s">
        <v>11</v>
      </c>
      <c r="B31" s="16">
        <v>30</v>
      </c>
      <c r="C31" s="17" t="s">
        <v>18</v>
      </c>
      <c r="D31" s="17" t="s">
        <v>46</v>
      </c>
      <c r="E31" s="18">
        <v>39</v>
      </c>
      <c r="F31" s="10">
        <v>12.5</v>
      </c>
      <c r="G31" s="11">
        <v>8</v>
      </c>
      <c r="H31" s="5">
        <v>13</v>
      </c>
      <c r="I31" s="24">
        <v>72.5</v>
      </c>
      <c r="J31" s="26">
        <v>25.44</v>
      </c>
      <c r="K31" s="24">
        <f t="shared" si="0"/>
        <v>97.94</v>
      </c>
    </row>
    <row r="32" ht="17.4" spans="1:11">
      <c r="A32" s="15" t="s">
        <v>11</v>
      </c>
      <c r="B32" s="16">
        <v>31</v>
      </c>
      <c r="C32" s="17" t="s">
        <v>18</v>
      </c>
      <c r="D32" s="17" t="s">
        <v>47</v>
      </c>
      <c r="E32" s="9">
        <v>43</v>
      </c>
      <c r="F32" s="10">
        <v>14</v>
      </c>
      <c r="G32" s="11">
        <v>9.5</v>
      </c>
      <c r="H32" s="5">
        <v>11.5</v>
      </c>
      <c r="I32" s="24">
        <v>78</v>
      </c>
      <c r="J32" s="26">
        <v>23.38</v>
      </c>
      <c r="K32" s="24">
        <f t="shared" si="0"/>
        <v>101.38</v>
      </c>
    </row>
    <row r="33" ht="17.4" spans="1:11">
      <c r="A33" s="15" t="s">
        <v>11</v>
      </c>
      <c r="B33" s="16">
        <v>32</v>
      </c>
      <c r="C33" s="17" t="s">
        <v>18</v>
      </c>
      <c r="D33" s="17" t="s">
        <v>48</v>
      </c>
      <c r="E33" s="9">
        <v>48</v>
      </c>
      <c r="F33" s="10">
        <v>15</v>
      </c>
      <c r="G33" s="11">
        <v>9</v>
      </c>
      <c r="H33" s="5">
        <v>14</v>
      </c>
      <c r="I33" s="24">
        <v>86</v>
      </c>
      <c r="J33" s="26">
        <v>25.95</v>
      </c>
      <c r="K33" s="24">
        <f t="shared" si="0"/>
        <v>111.95</v>
      </c>
    </row>
    <row r="34" ht="17.4" spans="1:11">
      <c r="A34" s="6" t="s">
        <v>11</v>
      </c>
      <c r="B34" s="7">
        <v>33</v>
      </c>
      <c r="C34" s="8" t="s">
        <v>12</v>
      </c>
      <c r="D34" s="8" t="s">
        <v>49</v>
      </c>
      <c r="E34" s="9">
        <v>39</v>
      </c>
      <c r="F34" s="22">
        <v>10.5</v>
      </c>
      <c r="G34" s="11">
        <v>3</v>
      </c>
      <c r="H34" s="5">
        <v>10</v>
      </c>
      <c r="I34" s="24">
        <v>62.5</v>
      </c>
      <c r="J34" s="26">
        <v>24.46</v>
      </c>
      <c r="K34" s="24">
        <f t="shared" si="0"/>
        <v>86.96</v>
      </c>
    </row>
    <row r="35" ht="17.4" spans="1:11">
      <c r="A35" s="15" t="s">
        <v>11</v>
      </c>
      <c r="B35" s="16">
        <v>34</v>
      </c>
      <c r="C35" s="17" t="s">
        <v>18</v>
      </c>
      <c r="D35" s="17" t="s">
        <v>50</v>
      </c>
      <c r="E35" s="9">
        <v>47</v>
      </c>
      <c r="F35" s="10">
        <v>13.5</v>
      </c>
      <c r="G35" s="11">
        <v>8</v>
      </c>
      <c r="H35" s="5">
        <v>13.5</v>
      </c>
      <c r="I35" s="24">
        <v>82</v>
      </c>
      <c r="J35" s="26">
        <v>27.02</v>
      </c>
      <c r="K35" s="24">
        <f t="shared" si="0"/>
        <v>109.02</v>
      </c>
    </row>
    <row r="36" ht="17.4" spans="1:11">
      <c r="A36" s="6" t="s">
        <v>11</v>
      </c>
      <c r="B36" s="7">
        <v>35</v>
      </c>
      <c r="C36" s="8" t="s">
        <v>12</v>
      </c>
      <c r="D36" s="8" t="s">
        <v>51</v>
      </c>
      <c r="E36" s="9" t="s">
        <v>31</v>
      </c>
      <c r="F36" s="10" t="s">
        <v>31</v>
      </c>
      <c r="G36" s="11" t="s">
        <v>31</v>
      </c>
      <c r="H36" s="5"/>
      <c r="I36" s="24" t="s">
        <v>31</v>
      </c>
      <c r="J36" s="27">
        <v>0</v>
      </c>
      <c r="K36" s="24">
        <v>0</v>
      </c>
    </row>
    <row r="37" ht="17.4" spans="1:11">
      <c r="A37" s="6" t="s">
        <v>11</v>
      </c>
      <c r="B37" s="7">
        <v>36</v>
      </c>
      <c r="C37" s="8" t="s">
        <v>12</v>
      </c>
      <c r="D37" s="8" t="s">
        <v>52</v>
      </c>
      <c r="E37" s="9">
        <v>21</v>
      </c>
      <c r="F37" s="22">
        <v>2.5</v>
      </c>
      <c r="G37" s="11">
        <v>1.5</v>
      </c>
      <c r="H37" s="5">
        <v>7</v>
      </c>
      <c r="I37" s="24">
        <v>32</v>
      </c>
      <c r="J37" s="27">
        <v>14.47</v>
      </c>
      <c r="K37" s="24">
        <f t="shared" si="0"/>
        <v>46.47</v>
      </c>
    </row>
    <row r="38" ht="17.4" spans="1:11">
      <c r="A38" s="19" t="s">
        <v>11</v>
      </c>
      <c r="B38" s="20">
        <v>37</v>
      </c>
      <c r="C38" s="21" t="s">
        <v>20</v>
      </c>
      <c r="D38" s="21" t="s">
        <v>53</v>
      </c>
      <c r="E38" s="9">
        <v>36</v>
      </c>
      <c r="F38" s="10">
        <v>3.5</v>
      </c>
      <c r="G38" s="11">
        <v>1</v>
      </c>
      <c r="H38" s="5">
        <v>3</v>
      </c>
      <c r="I38" s="24">
        <v>43.5</v>
      </c>
      <c r="J38" s="26">
        <v>7.48</v>
      </c>
      <c r="K38" s="24">
        <f t="shared" si="0"/>
        <v>50.98</v>
      </c>
    </row>
    <row r="39" ht="17.4" spans="1:11">
      <c r="A39" s="15" t="s">
        <v>11</v>
      </c>
      <c r="B39" s="16">
        <v>38</v>
      </c>
      <c r="C39" s="17" t="s">
        <v>18</v>
      </c>
      <c r="D39" s="17" t="s">
        <v>54</v>
      </c>
      <c r="E39" s="9">
        <v>45</v>
      </c>
      <c r="F39" s="10">
        <v>11</v>
      </c>
      <c r="G39" s="11">
        <v>7.5</v>
      </c>
      <c r="H39" s="5">
        <v>12.5</v>
      </c>
      <c r="I39" s="24">
        <v>76</v>
      </c>
      <c r="J39" s="26">
        <v>26.94</v>
      </c>
      <c r="K39" s="24">
        <f t="shared" si="0"/>
        <v>102.94</v>
      </c>
    </row>
    <row r="40" ht="17.4" spans="1:11">
      <c r="A40" s="6" t="s">
        <v>11</v>
      </c>
      <c r="B40" s="7">
        <v>39</v>
      </c>
      <c r="C40" s="8" t="s">
        <v>12</v>
      </c>
      <c r="D40" s="8" t="s">
        <v>55</v>
      </c>
      <c r="E40" s="9">
        <v>36</v>
      </c>
      <c r="F40" s="10">
        <v>5</v>
      </c>
      <c r="G40" s="11">
        <v>4</v>
      </c>
      <c r="H40" s="5">
        <v>10</v>
      </c>
      <c r="I40" s="24">
        <v>55</v>
      </c>
      <c r="J40" s="26">
        <v>19.01</v>
      </c>
      <c r="K40" s="24">
        <f t="shared" si="0"/>
        <v>74.01</v>
      </c>
    </row>
    <row r="41" ht="17.4" spans="1:11">
      <c r="A41" s="19" t="s">
        <v>11</v>
      </c>
      <c r="B41" s="20">
        <v>40</v>
      </c>
      <c r="C41" s="21" t="s">
        <v>20</v>
      </c>
      <c r="D41" s="21" t="s">
        <v>56</v>
      </c>
      <c r="E41" s="9">
        <v>16</v>
      </c>
      <c r="F41" s="10">
        <v>1.5</v>
      </c>
      <c r="G41" s="11">
        <v>2</v>
      </c>
      <c r="H41" s="5">
        <v>0</v>
      </c>
      <c r="I41" s="24">
        <f>SUM(E41:H41)</f>
        <v>19.5</v>
      </c>
      <c r="J41" s="26">
        <v>5.59</v>
      </c>
      <c r="K41" s="24">
        <f>I41+J41</f>
        <v>25.09</v>
      </c>
    </row>
    <row r="42" ht="17.4" spans="1:11">
      <c r="A42" s="6" t="s">
        <v>11</v>
      </c>
      <c r="B42" s="7">
        <v>41</v>
      </c>
      <c r="C42" s="8" t="s">
        <v>12</v>
      </c>
      <c r="D42" s="8" t="s">
        <v>57</v>
      </c>
      <c r="E42" s="9">
        <v>40</v>
      </c>
      <c r="F42" s="10">
        <v>8</v>
      </c>
      <c r="G42" s="11">
        <v>5</v>
      </c>
      <c r="H42" s="5">
        <v>11.5</v>
      </c>
      <c r="I42" s="24">
        <v>64.5</v>
      </c>
      <c r="J42" s="26">
        <v>18.02</v>
      </c>
      <c r="K42" s="24">
        <f t="shared" si="0"/>
        <v>82.52</v>
      </c>
    </row>
    <row r="43" ht="17.4" spans="1:11">
      <c r="A43" s="15" t="s">
        <v>11</v>
      </c>
      <c r="B43" s="16">
        <v>42</v>
      </c>
      <c r="C43" s="17" t="s">
        <v>18</v>
      </c>
      <c r="D43" s="17" t="s">
        <v>58</v>
      </c>
      <c r="E43" s="9">
        <v>49</v>
      </c>
      <c r="F43" s="10">
        <v>13</v>
      </c>
      <c r="G43" s="11">
        <v>9.5</v>
      </c>
      <c r="H43" s="5">
        <v>13.5</v>
      </c>
      <c r="I43" s="24">
        <v>85</v>
      </c>
      <c r="J43" s="26">
        <v>28.78</v>
      </c>
      <c r="K43" s="24">
        <f t="shared" si="0"/>
        <v>113.78</v>
      </c>
    </row>
    <row r="44" ht="17.4" spans="1:11">
      <c r="A44" s="6" t="s">
        <v>11</v>
      </c>
      <c r="B44" s="7">
        <v>43</v>
      </c>
      <c r="C44" s="8" t="s">
        <v>12</v>
      </c>
      <c r="D44" s="8" t="s">
        <v>59</v>
      </c>
      <c r="E44" s="9">
        <v>36</v>
      </c>
      <c r="F44" s="10">
        <v>3.5</v>
      </c>
      <c r="G44" s="11">
        <v>1.5</v>
      </c>
      <c r="H44" s="5">
        <v>3</v>
      </c>
      <c r="I44" s="24">
        <v>44</v>
      </c>
      <c r="J44" s="27">
        <v>12.26</v>
      </c>
      <c r="K44" s="24">
        <f t="shared" si="0"/>
        <v>56.26</v>
      </c>
    </row>
    <row r="45" ht="17.4" spans="1:11">
      <c r="A45" s="6" t="s">
        <v>11</v>
      </c>
      <c r="B45" s="7">
        <v>44</v>
      </c>
      <c r="C45" s="8" t="s">
        <v>12</v>
      </c>
      <c r="D45" s="23" t="s">
        <v>60</v>
      </c>
      <c r="E45" s="9">
        <v>35</v>
      </c>
      <c r="F45" s="10">
        <v>7.5</v>
      </c>
      <c r="G45" s="11">
        <v>8</v>
      </c>
      <c r="H45" s="5">
        <v>10</v>
      </c>
      <c r="I45" s="24">
        <v>60.5</v>
      </c>
      <c r="J45" s="26">
        <v>25.11</v>
      </c>
      <c r="K45" s="24">
        <f t="shared" si="0"/>
        <v>85.61</v>
      </c>
    </row>
    <row r="46" ht="17.4" spans="1:11">
      <c r="A46" s="15" t="s">
        <v>11</v>
      </c>
      <c r="B46" s="16">
        <v>45</v>
      </c>
      <c r="C46" s="17" t="s">
        <v>18</v>
      </c>
      <c r="D46" s="17" t="s">
        <v>61</v>
      </c>
      <c r="E46" s="9">
        <v>40</v>
      </c>
      <c r="F46" s="22">
        <v>10.5</v>
      </c>
      <c r="G46" s="11">
        <v>8</v>
      </c>
      <c r="H46" s="5">
        <v>12</v>
      </c>
      <c r="I46" s="24">
        <v>70.5</v>
      </c>
      <c r="J46" s="26">
        <v>24.34</v>
      </c>
      <c r="K46" s="24">
        <f t="shared" si="0"/>
        <v>94.84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Unit3单元测试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Cambridge-VIP</cp:lastModifiedBy>
  <dcterms:created xsi:type="dcterms:W3CDTF">2018-01-05T18:09:00Z</dcterms:created>
  <dcterms:modified xsi:type="dcterms:W3CDTF">2026-03-30T16:29:02Z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6454FD0E27AE48BE8D0B31F36F33B06F_13</vt:lpwstr>
  </property>
  <property fmtid="{D5CDD505-2E9C-101B-9397-08002B2CF9AE}" pid="3" name="KSOProductBuildVer">
    <vt:lpwstr>2052-12.1.0.17827</vt:lpwstr>
  </property>
  <property fmtid="{D5CDD505-2E9C-101B-9397-08002B2CF9AE}" pid="4" name="CalculationRule">
    <vt:i4>0</vt:i4>
  </property>
</Properties>
</file>